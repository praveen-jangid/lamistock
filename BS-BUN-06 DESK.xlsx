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105" yWindow="-105" windowWidth="19410" windowHeight="10290"/>
  </bookViews>
  <sheets>
    <sheet name="Sheet1" sheetId="1" r:id="rId1"/>
    <sheet name="Sheet2" sheetId="2" r:id="rId2"/>
    <sheet name="Sheet3" sheetId="3" state="hidden" r:id="rId3"/>
    <sheet name="Sheet4" sheetId="4" state="hidden" r:id="rId4"/>
  </sheets>
  <definedNames>
    <definedName name="_xlnm.Print_Area" localSheetId="0">Sheet1!$A$2:$K$64</definedName>
    <definedName name="_xlnm.Print_Titles" localSheetId="0">Sheet1!$2:$8</definedName>
  </definedNames>
  <calcPr calcId="144525"/>
</workbook>
</file>

<file path=xl/calcChain.xml><?xml version="1.0" encoding="utf-8"?>
<calcChain xmlns="http://schemas.openxmlformats.org/spreadsheetml/2006/main">
  <c r="K56" i="1" l="1"/>
  <c r="J56" i="1"/>
  <c r="K4" i="1" l="1"/>
  <c r="J59" i="1" l="1"/>
  <c r="K60" i="1" s="1"/>
  <c r="J29" i="1"/>
  <c r="J47" i="1"/>
  <c r="K48" i="1" s="1"/>
  <c r="J45" i="1"/>
  <c r="K46" i="1" s="1"/>
  <c r="J43" i="1"/>
  <c r="K44" i="1" s="1"/>
  <c r="J41" i="1"/>
  <c r="K42" i="1" s="1"/>
  <c r="J22" i="1" l="1"/>
  <c r="K23" i="1" s="1"/>
  <c r="L22" i="1" l="1"/>
  <c r="J14" i="1"/>
  <c r="L14" i="1" s="1"/>
  <c r="K15" i="1" l="1"/>
  <c r="J28" i="1"/>
  <c r="J30" i="1"/>
  <c r="J20" i="1" l="1"/>
  <c r="J18" i="1"/>
  <c r="L18" i="1" s="1"/>
  <c r="J16" i="1"/>
  <c r="L16" i="1" s="1"/>
  <c r="J24" i="1"/>
  <c r="L24" i="1" s="1"/>
  <c r="J12" i="1"/>
  <c r="L12" i="1" s="1"/>
  <c r="L20" i="1" l="1"/>
  <c r="L25" i="1" s="1"/>
  <c r="K21" i="1"/>
  <c r="K25" i="1"/>
  <c r="K19" i="1"/>
  <c r="J35" i="1"/>
  <c r="J37" i="1"/>
  <c r="K38" i="1" s="1"/>
  <c r="J39" i="1"/>
  <c r="K40" i="1" s="1"/>
  <c r="J53" i="1"/>
  <c r="K54" i="1" s="1"/>
  <c r="J63" i="1"/>
  <c r="K64" i="1" s="1"/>
  <c r="J33" i="1"/>
  <c r="K34" i="1" s="1"/>
  <c r="J51" i="1" l="1"/>
  <c r="K52" i="1" s="1"/>
  <c r="J55" i="1"/>
  <c r="J57" i="1"/>
  <c r="K58" i="1" s="1"/>
  <c r="J61" i="1"/>
  <c r="K62" i="1" s="1"/>
  <c r="J49" i="1"/>
  <c r="K50" i="1" s="1"/>
  <c r="K17" i="1"/>
  <c r="K13" i="1"/>
</calcChain>
</file>

<file path=xl/sharedStrings.xml><?xml version="1.0" encoding="utf-8"?>
<sst xmlns="http://schemas.openxmlformats.org/spreadsheetml/2006/main" count="281" uniqueCount="80">
  <si>
    <t>Wood</t>
  </si>
  <si>
    <t>Qty.</t>
  </si>
  <si>
    <t xml:space="preserve">Particulars </t>
  </si>
  <si>
    <t>Size</t>
  </si>
  <si>
    <t>CFT</t>
  </si>
  <si>
    <t>Lamination Size</t>
  </si>
  <si>
    <t>Fram</t>
  </si>
  <si>
    <t>X</t>
  </si>
  <si>
    <t>x</t>
  </si>
  <si>
    <t>Item Name :-</t>
  </si>
  <si>
    <t>Party Name :-</t>
  </si>
  <si>
    <t>Contractor Name:-</t>
  </si>
  <si>
    <t>PO   #</t>
  </si>
  <si>
    <t>APL</t>
  </si>
  <si>
    <t>Item Quantity :-</t>
  </si>
  <si>
    <t>M</t>
  </si>
  <si>
    <t>5'''</t>
  </si>
  <si>
    <t>Required Size =&gt;</t>
  </si>
  <si>
    <t>Side :-</t>
  </si>
  <si>
    <t xml:space="preserve">Veneer </t>
  </si>
  <si>
    <t>Back :-</t>
  </si>
  <si>
    <t>Dra. Side :-</t>
  </si>
  <si>
    <t>Dra. Face :-</t>
  </si>
  <si>
    <t>MDF /VENEER</t>
  </si>
  <si>
    <t>Drawer :-</t>
  </si>
  <si>
    <t>16"</t>
  </si>
  <si>
    <t>1"</t>
  </si>
  <si>
    <t>18"</t>
  </si>
  <si>
    <t>6mm</t>
  </si>
  <si>
    <t>MDF</t>
  </si>
  <si>
    <t>RAHUL ART &amp; CRAFT</t>
  </si>
  <si>
    <t>LAMINATION ORDER</t>
  </si>
  <si>
    <t>13"-6'''</t>
  </si>
  <si>
    <t>1"-2'''</t>
  </si>
  <si>
    <t>6'''</t>
  </si>
  <si>
    <t>15"-6'''</t>
  </si>
  <si>
    <t>27"-2'''</t>
  </si>
  <si>
    <t>Sq.ft. Amount</t>
  </si>
  <si>
    <t>Remarks</t>
  </si>
  <si>
    <t>Fluting</t>
  </si>
  <si>
    <t>27"</t>
  </si>
  <si>
    <t>28"-5'''</t>
  </si>
  <si>
    <t>23"-2'''</t>
  </si>
  <si>
    <t>21"-5'''</t>
  </si>
  <si>
    <t>7"</t>
  </si>
  <si>
    <t>14"-3'''</t>
  </si>
  <si>
    <t>Side Fram :-</t>
  </si>
  <si>
    <t>3"</t>
  </si>
  <si>
    <t>28"-4'''</t>
  </si>
  <si>
    <t>CNC</t>
  </si>
  <si>
    <t>22"</t>
  </si>
  <si>
    <t>3"-4'''</t>
  </si>
  <si>
    <t>F. Frame :-</t>
  </si>
  <si>
    <t>3"-5'''</t>
  </si>
  <si>
    <t>Frame :-</t>
  </si>
  <si>
    <t>22"-4'''</t>
  </si>
  <si>
    <t>Channel :-</t>
  </si>
  <si>
    <t>16"-4'''</t>
  </si>
  <si>
    <t>Sketing :-</t>
  </si>
  <si>
    <t>2"-5'''</t>
  </si>
  <si>
    <t>19"-4'''</t>
  </si>
  <si>
    <t>1"-5'''</t>
  </si>
  <si>
    <t>Top Frame :-</t>
  </si>
  <si>
    <t>15"-1'''</t>
  </si>
  <si>
    <t>1"-4'''</t>
  </si>
  <si>
    <t>20"-5'''</t>
  </si>
  <si>
    <t>LAST UPDATED DATE 19/02/25</t>
  </si>
  <si>
    <t>15mm</t>
  </si>
  <si>
    <t>Bunton Desk (BS-BUN-06)</t>
  </si>
  <si>
    <t>Scrap</t>
  </si>
  <si>
    <t>Dra. Back :-</t>
  </si>
  <si>
    <t>6"-2'''</t>
  </si>
  <si>
    <t>2"-4'''</t>
  </si>
  <si>
    <t>Dra Face :-</t>
  </si>
  <si>
    <t>24"</t>
  </si>
  <si>
    <t>Dra Back :-</t>
  </si>
  <si>
    <t>1"-7'''</t>
  </si>
  <si>
    <t>16"-2'''</t>
  </si>
  <si>
    <t>Patti :-</t>
  </si>
  <si>
    <t>Date 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</si>
</sst>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&quot;'' &quot;\ "/>
    <numFmt numFmtId="165" formatCode="0&quot;'' &quot;\ "/>
    <numFmt numFmtId="166" formatCode="0.00&quot;'' &quot;\ "/>
    <numFmt numFmtId="167" formatCode="0.00\ &quot;)&quot;"/>
    <numFmt numFmtId="168" formatCode="0&quot;''' &quot;\ "/>
    <numFmt numFmtId="169" formatCode="0.0&quot;''' &quot;\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168" fontId="2" fillId="0" borderId="5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167" fontId="0" fillId="0" borderId="0" xfId="0" applyNumberFormat="1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65" fontId="2" fillId="0" borderId="7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8" fontId="2" fillId="0" borderId="7" xfId="0" applyNumberFormat="1" applyFont="1" applyBorder="1" applyAlignment="1">
      <alignment horizontal="center" vertical="center"/>
    </xf>
    <xf numFmtId="2" fontId="4" fillId="0" borderId="24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12" fontId="2" fillId="0" borderId="6" xfId="0" applyNumberFormat="1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7" fillId="0" borderId="24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66" fontId="2" fillId="0" borderId="9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3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2" fontId="4" fillId="0" borderId="19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2" fontId="2" fillId="0" borderId="22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2" fontId="0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2" fillId="0" borderId="34" xfId="0" applyFont="1" applyBorder="1" applyAlignment="1">
      <alignment vertical="center"/>
    </xf>
    <xf numFmtId="14" fontId="12" fillId="0" borderId="36" xfId="0" applyNumberFormat="1" applyFont="1" applyBorder="1" applyAlignment="1">
      <alignment vertical="center"/>
    </xf>
    <xf numFmtId="12" fontId="13" fillId="0" borderId="6" xfId="0" applyNumberFormat="1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124811</xdr:colOff>
      <xdr:row>4</xdr:row>
      <xdr:rowOff>39414</xdr:rowOff>
    </xdr:from>
    <xdr:to>
      <xdr:col>10</xdr:col>
      <xdr:colOff>540327</xdr:colOff>
      <xdr:row>7</xdr:row>
      <xdr:rowOff>216775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95" t="8014" r="23451" b="10232"/>
        <a:stretch/>
      </xdr:blipFill>
      <xdr:spPr>
        <a:xfrm>
          <a:off x="4131880" y="834259"/>
          <a:ext cx="1565085" cy="1169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4"/>
  <sheetViews>
    <sheetView tabSelected="1" view="pageBreakPreview" zoomScale="130" zoomScaleNormal="145" zoomScaleSheetLayoutView="130" zoomScalePageLayoutView="90" workbookViewId="0">
      <selection activeCell="E63" sqref="E63"/>
    </sheetView>
  </sheetViews>
  <sheetFormatPr defaultColWidth="9.28515625" defaultRowHeight="15" x14ac:dyDescent="0.25"/>
  <cols>
    <col min="1" max="1" width="7.5703125" style="10" customWidth="1"/>
    <col min="2" max="2" width="10.28515625" style="10" customWidth="1"/>
    <col min="3" max="3" width="15.5703125" style="10" customWidth="1"/>
    <col min="4" max="4" width="3.42578125" style="21" customWidth="1"/>
    <col min="5" max="5" width="9.28515625" style="10" customWidth="1"/>
    <col min="6" max="6" width="2.5703125" style="10" customWidth="1"/>
    <col min="7" max="7" width="8.7109375" style="10" customWidth="1"/>
    <col min="8" max="8" width="2.7109375" style="10" customWidth="1"/>
    <col min="9" max="9" width="9" style="10" customWidth="1"/>
    <col min="10" max="10" width="8.28515625" style="10" customWidth="1"/>
    <col min="11" max="11" width="10.5703125" style="9" customWidth="1"/>
    <col min="12" max="12" width="9.42578125" style="10" customWidth="1"/>
    <col min="13" max="16384" width="9.28515625" style="10"/>
  </cols>
  <sheetData>
    <row r="1" spans="1:12" ht="15.75" thickBot="1" x14ac:dyDescent="0.3"/>
    <row r="2" spans="1:12" x14ac:dyDescent="0.25">
      <c r="A2" s="97" t="s">
        <v>30</v>
      </c>
      <c r="B2" s="98"/>
      <c r="C2" s="98"/>
      <c r="D2" s="98"/>
      <c r="E2" s="98"/>
      <c r="F2" s="98"/>
      <c r="G2" s="98"/>
      <c r="H2" s="98"/>
      <c r="I2" s="98"/>
      <c r="J2" s="98"/>
      <c r="K2" s="99"/>
    </row>
    <row r="3" spans="1:12" ht="15.75" thickBot="1" x14ac:dyDescent="0.3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2"/>
    </row>
    <row r="4" spans="1:12" ht="16.5" thickBot="1" x14ac:dyDescent="0.3">
      <c r="A4" s="122" t="s">
        <v>31</v>
      </c>
      <c r="B4" s="123"/>
      <c r="C4" s="123"/>
      <c r="D4" s="123"/>
      <c r="E4" s="123"/>
      <c r="F4" s="123"/>
      <c r="G4" s="123"/>
      <c r="H4" s="123"/>
      <c r="I4" s="123"/>
      <c r="J4" s="78" t="s">
        <v>79</v>
      </c>
      <c r="K4" s="79">
        <f ca="1">+TODAY()</f>
        <v>46173</v>
      </c>
    </row>
    <row r="5" spans="1:12" ht="34.9" customHeight="1" x14ac:dyDescent="0.25">
      <c r="A5" s="103" t="s">
        <v>9</v>
      </c>
      <c r="B5" s="104"/>
      <c r="C5" s="118" t="s">
        <v>68</v>
      </c>
      <c r="D5" s="104"/>
      <c r="E5" s="104"/>
      <c r="F5" s="104"/>
      <c r="G5" s="104"/>
      <c r="H5" s="119"/>
      <c r="I5" s="109"/>
      <c r="J5" s="110"/>
      <c r="K5" s="111"/>
    </row>
    <row r="6" spans="1:12" ht="21.75" customHeight="1" x14ac:dyDescent="0.25">
      <c r="A6" s="105" t="s">
        <v>14</v>
      </c>
      <c r="B6" s="106"/>
      <c r="C6" s="69">
        <v>10</v>
      </c>
      <c r="D6" s="95" t="s">
        <v>3</v>
      </c>
      <c r="E6" s="95"/>
      <c r="F6" s="95"/>
      <c r="G6" s="95"/>
      <c r="H6" s="96"/>
      <c r="I6" s="112"/>
      <c r="J6" s="113"/>
      <c r="K6" s="114"/>
    </row>
    <row r="7" spans="1:12" ht="21.75" customHeight="1" x14ac:dyDescent="0.25">
      <c r="A7" s="105" t="s">
        <v>10</v>
      </c>
      <c r="B7" s="106"/>
      <c r="C7" s="71" t="s">
        <v>13</v>
      </c>
      <c r="D7" s="95" t="s">
        <v>12</v>
      </c>
      <c r="E7" s="95"/>
      <c r="F7" s="120">
        <v>6230</v>
      </c>
      <c r="G7" s="120"/>
      <c r="H7" s="121"/>
      <c r="I7" s="112"/>
      <c r="J7" s="113"/>
      <c r="K7" s="114"/>
    </row>
    <row r="8" spans="1:12" ht="21.75" customHeight="1" thickBot="1" x14ac:dyDescent="0.3">
      <c r="A8" s="107" t="s">
        <v>11</v>
      </c>
      <c r="B8" s="108"/>
      <c r="C8" s="92"/>
      <c r="D8" s="93"/>
      <c r="E8" s="93"/>
      <c r="F8" s="93"/>
      <c r="G8" s="93"/>
      <c r="H8" s="94"/>
      <c r="I8" s="115"/>
      <c r="J8" s="116"/>
      <c r="K8" s="117"/>
    </row>
    <row r="9" spans="1:12" ht="10.9" customHeight="1" x14ac:dyDescent="0.25">
      <c r="A9" s="86" t="s">
        <v>5</v>
      </c>
      <c r="B9" s="87"/>
      <c r="C9" s="87"/>
      <c r="D9" s="87"/>
      <c r="E9" s="87"/>
      <c r="F9" s="87"/>
      <c r="G9" s="87"/>
      <c r="H9" s="87"/>
      <c r="I9" s="87"/>
      <c r="J9" s="87"/>
      <c r="K9" s="88"/>
    </row>
    <row r="10" spans="1:12" ht="13.9" customHeight="1" thickBot="1" x14ac:dyDescent="0.3">
      <c r="A10" s="89"/>
      <c r="B10" s="90"/>
      <c r="C10" s="90"/>
      <c r="D10" s="90"/>
      <c r="E10" s="90"/>
      <c r="F10" s="90"/>
      <c r="G10" s="90"/>
      <c r="H10" s="90"/>
      <c r="I10" s="90"/>
      <c r="J10" s="90"/>
      <c r="K10" s="91"/>
    </row>
    <row r="11" spans="1:12" ht="21.75" customHeight="1" x14ac:dyDescent="0.25">
      <c r="A11" s="61" t="s">
        <v>0</v>
      </c>
      <c r="B11" s="62" t="s">
        <v>38</v>
      </c>
      <c r="C11" s="70" t="s">
        <v>2</v>
      </c>
      <c r="D11" s="63"/>
      <c r="E11" s="84" t="s">
        <v>3</v>
      </c>
      <c r="F11" s="84"/>
      <c r="G11" s="84"/>
      <c r="H11" s="84"/>
      <c r="I11" s="85"/>
      <c r="J11" s="36" t="s">
        <v>1</v>
      </c>
      <c r="K11" s="64" t="s">
        <v>4</v>
      </c>
      <c r="L11" s="67" t="s">
        <v>37</v>
      </c>
    </row>
    <row r="12" spans="1:12" ht="15.75" x14ac:dyDescent="0.25">
      <c r="A12" s="23" t="s">
        <v>15</v>
      </c>
      <c r="B12" s="80" t="s">
        <v>39</v>
      </c>
      <c r="C12" s="16" t="s">
        <v>22</v>
      </c>
      <c r="D12" s="12">
        <v>1</v>
      </c>
      <c r="E12" s="3" t="s">
        <v>40</v>
      </c>
      <c r="F12" s="8" t="s">
        <v>7</v>
      </c>
      <c r="G12" s="3" t="s">
        <v>35</v>
      </c>
      <c r="H12" s="8" t="s">
        <v>7</v>
      </c>
      <c r="I12" s="5" t="s">
        <v>26</v>
      </c>
      <c r="J12" s="69">
        <f>+D12*$C$6</f>
        <v>10</v>
      </c>
      <c r="K12" s="24"/>
      <c r="L12" s="66">
        <f>((27*15.75*J12)/144)*7</f>
        <v>206.71875</v>
      </c>
    </row>
    <row r="13" spans="1:12" ht="15.75" x14ac:dyDescent="0.25">
      <c r="A13" s="23"/>
      <c r="B13" s="81"/>
      <c r="C13" s="17" t="s">
        <v>17</v>
      </c>
      <c r="D13" s="12"/>
      <c r="E13" s="1">
        <v>2.5</v>
      </c>
      <c r="F13" s="1" t="s">
        <v>8</v>
      </c>
      <c r="G13" s="1">
        <v>19</v>
      </c>
      <c r="H13" s="1" t="s">
        <v>8</v>
      </c>
      <c r="I13" s="2">
        <v>1.5</v>
      </c>
      <c r="J13" s="69"/>
      <c r="K13" s="24">
        <f>+E13*G13*I13*J12/144</f>
        <v>4.947916666666667</v>
      </c>
      <c r="L13" s="66"/>
    </row>
    <row r="14" spans="1:12" ht="15.75" x14ac:dyDescent="0.25">
      <c r="A14" s="23" t="s">
        <v>15</v>
      </c>
      <c r="B14" s="80" t="s">
        <v>39</v>
      </c>
      <c r="C14" s="16" t="s">
        <v>20</v>
      </c>
      <c r="D14" s="12">
        <v>1</v>
      </c>
      <c r="E14" s="3" t="s">
        <v>40</v>
      </c>
      <c r="F14" s="8" t="s">
        <v>7</v>
      </c>
      <c r="G14" s="3" t="s">
        <v>35</v>
      </c>
      <c r="H14" s="8" t="s">
        <v>7</v>
      </c>
      <c r="I14" s="5" t="s">
        <v>16</v>
      </c>
      <c r="J14" s="69">
        <f>+D14*$C$6</f>
        <v>10</v>
      </c>
      <c r="K14" s="24"/>
      <c r="L14" s="66">
        <f>+((27*15.75*J14)/144)*7</f>
        <v>206.71875</v>
      </c>
    </row>
    <row r="15" spans="1:12" ht="15.75" x14ac:dyDescent="0.25">
      <c r="A15" s="23"/>
      <c r="B15" s="11"/>
      <c r="C15" s="17" t="s">
        <v>17</v>
      </c>
      <c r="D15" s="12"/>
      <c r="E15" s="1">
        <v>2.5</v>
      </c>
      <c r="F15" s="1" t="s">
        <v>8</v>
      </c>
      <c r="G15" s="1">
        <v>19</v>
      </c>
      <c r="H15" s="1" t="s">
        <v>8</v>
      </c>
      <c r="I15" s="2">
        <v>1</v>
      </c>
      <c r="J15" s="69"/>
      <c r="K15" s="24">
        <f>+E15*G15*I15*J14/144</f>
        <v>3.2986111111111112</v>
      </c>
      <c r="L15" s="66"/>
    </row>
    <row r="16" spans="1:12" ht="15.75" x14ac:dyDescent="0.25">
      <c r="A16" s="23" t="s">
        <v>15</v>
      </c>
      <c r="B16" s="11"/>
      <c r="C16" s="16" t="s">
        <v>18</v>
      </c>
      <c r="D16" s="12">
        <v>1</v>
      </c>
      <c r="E16" s="3" t="s">
        <v>41</v>
      </c>
      <c r="F16" s="8" t="s">
        <v>7</v>
      </c>
      <c r="G16" s="3" t="s">
        <v>42</v>
      </c>
      <c r="H16" s="8" t="s">
        <v>7</v>
      </c>
      <c r="I16" s="5" t="s">
        <v>16</v>
      </c>
      <c r="J16" s="69">
        <f t="shared" ref="J16" si="0">+D16*$C$6</f>
        <v>10</v>
      </c>
      <c r="K16" s="24"/>
      <c r="L16" s="66">
        <f>+((28.5*23.25*J16)/144)*7</f>
        <v>322.109375</v>
      </c>
    </row>
    <row r="17" spans="1:12" ht="15.75" x14ac:dyDescent="0.25">
      <c r="A17" s="23"/>
      <c r="B17" s="11"/>
      <c r="C17" s="17" t="s">
        <v>17</v>
      </c>
      <c r="D17" s="12"/>
      <c r="E17" s="1">
        <v>2.5</v>
      </c>
      <c r="F17" s="1" t="s">
        <v>8</v>
      </c>
      <c r="G17" s="1">
        <v>29</v>
      </c>
      <c r="H17" s="1" t="s">
        <v>8</v>
      </c>
      <c r="I17" s="2">
        <v>1</v>
      </c>
      <c r="J17" s="69"/>
      <c r="K17" s="24">
        <f t="shared" ref="K17" si="1">+E17*G17*I17*J16/144</f>
        <v>5.0347222222222223</v>
      </c>
      <c r="L17" s="66"/>
    </row>
    <row r="18" spans="1:12" ht="15.75" x14ac:dyDescent="0.25">
      <c r="A18" s="23" t="s">
        <v>15</v>
      </c>
      <c r="B18" s="11"/>
      <c r="C18" s="16" t="s">
        <v>18</v>
      </c>
      <c r="D18" s="12">
        <v>1</v>
      </c>
      <c r="E18" s="3" t="s">
        <v>40</v>
      </c>
      <c r="F18" s="8" t="s">
        <v>7</v>
      </c>
      <c r="G18" s="3" t="s">
        <v>43</v>
      </c>
      <c r="H18" s="8" t="s">
        <v>7</v>
      </c>
      <c r="I18" s="5" t="s">
        <v>16</v>
      </c>
      <c r="J18" s="69">
        <f t="shared" ref="J18" si="2">+D18*$C$6</f>
        <v>10</v>
      </c>
      <c r="K18" s="24"/>
      <c r="L18" s="66">
        <f>+((27*21.5*J18)/144)*7</f>
        <v>282.1875</v>
      </c>
    </row>
    <row r="19" spans="1:12" ht="15.75" x14ac:dyDescent="0.25">
      <c r="A19" s="23"/>
      <c r="B19" s="11"/>
      <c r="C19" s="17" t="s">
        <v>17</v>
      </c>
      <c r="D19" s="12"/>
      <c r="E19" s="1">
        <v>2.5</v>
      </c>
      <c r="F19" s="1" t="s">
        <v>8</v>
      </c>
      <c r="G19" s="1">
        <v>27</v>
      </c>
      <c r="H19" s="1" t="s">
        <v>8</v>
      </c>
      <c r="I19" s="2">
        <v>1</v>
      </c>
      <c r="J19" s="69"/>
      <c r="K19" s="24">
        <f t="shared" ref="K19:K21" si="3">+E19*G19*I19*J18/144</f>
        <v>4.6875</v>
      </c>
      <c r="L19" s="66"/>
    </row>
    <row r="20" spans="1:12" ht="15.75" x14ac:dyDescent="0.25">
      <c r="A20" s="23" t="s">
        <v>15</v>
      </c>
      <c r="B20" s="11"/>
      <c r="C20" s="16" t="s">
        <v>21</v>
      </c>
      <c r="D20" s="12">
        <v>6</v>
      </c>
      <c r="E20" s="3" t="s">
        <v>35</v>
      </c>
      <c r="F20" s="8" t="s">
        <v>7</v>
      </c>
      <c r="G20" s="3" t="s">
        <v>44</v>
      </c>
      <c r="H20" s="8" t="s">
        <v>7</v>
      </c>
      <c r="I20" s="5" t="s">
        <v>16</v>
      </c>
      <c r="J20" s="69">
        <f t="shared" ref="J20" si="4">+D20*$C$6</f>
        <v>60</v>
      </c>
      <c r="K20" s="24"/>
      <c r="L20" s="66">
        <f>+((15.75*7*J20)/144)*7</f>
        <v>321.5625</v>
      </c>
    </row>
    <row r="21" spans="1:12" ht="15.75" x14ac:dyDescent="0.25">
      <c r="A21" s="23"/>
      <c r="B21" s="11"/>
      <c r="C21" s="17" t="s">
        <v>17</v>
      </c>
      <c r="D21" s="12"/>
      <c r="E21" s="1">
        <v>1.5</v>
      </c>
      <c r="F21" s="1" t="s">
        <v>8</v>
      </c>
      <c r="G21" s="1">
        <v>9</v>
      </c>
      <c r="H21" s="1" t="s">
        <v>8</v>
      </c>
      <c r="I21" s="2">
        <v>1</v>
      </c>
      <c r="J21" s="69"/>
      <c r="K21" s="24">
        <f t="shared" si="3"/>
        <v>5.625</v>
      </c>
      <c r="L21" s="66"/>
    </row>
    <row r="22" spans="1:12" ht="15.75" x14ac:dyDescent="0.25">
      <c r="A22" s="23" t="s">
        <v>15</v>
      </c>
      <c r="B22" s="11"/>
      <c r="C22" s="16" t="s">
        <v>22</v>
      </c>
      <c r="D22" s="12">
        <v>3</v>
      </c>
      <c r="E22" s="3" t="s">
        <v>45</v>
      </c>
      <c r="F22" s="8" t="s">
        <v>7</v>
      </c>
      <c r="G22" s="3" t="s">
        <v>44</v>
      </c>
      <c r="H22" s="8" t="s">
        <v>7</v>
      </c>
      <c r="I22" s="5" t="s">
        <v>16</v>
      </c>
      <c r="J22" s="73">
        <f t="shared" ref="J22" si="5">+D22*$C$6</f>
        <v>30</v>
      </c>
      <c r="K22" s="24"/>
      <c r="L22" s="66">
        <f>+((14.5*7*J22)/144)*7</f>
        <v>148.02083333333331</v>
      </c>
    </row>
    <row r="23" spans="1:12" ht="15.75" x14ac:dyDescent="0.25">
      <c r="A23" s="23"/>
      <c r="B23" s="11"/>
      <c r="C23" s="17" t="s">
        <v>17</v>
      </c>
      <c r="D23" s="12"/>
      <c r="E23" s="1">
        <v>1.5</v>
      </c>
      <c r="F23" s="1" t="s">
        <v>8</v>
      </c>
      <c r="G23" s="1">
        <v>9</v>
      </c>
      <c r="H23" s="1" t="s">
        <v>8</v>
      </c>
      <c r="I23" s="2">
        <v>1</v>
      </c>
      <c r="J23" s="73"/>
      <c r="K23" s="24">
        <f t="shared" ref="K23" si="6">+E23*G23*I23*J22/144</f>
        <v>2.8125</v>
      </c>
      <c r="L23" s="68"/>
    </row>
    <row r="24" spans="1:12" ht="15.75" x14ac:dyDescent="0.25">
      <c r="A24" s="23" t="s">
        <v>15</v>
      </c>
      <c r="B24" s="11"/>
      <c r="C24" s="16" t="s">
        <v>70</v>
      </c>
      <c r="D24" s="12">
        <v>3</v>
      </c>
      <c r="E24" s="3" t="s">
        <v>45</v>
      </c>
      <c r="F24" s="8" t="s">
        <v>7</v>
      </c>
      <c r="G24" s="3" t="s">
        <v>71</v>
      </c>
      <c r="H24" s="8" t="s">
        <v>7</v>
      </c>
      <c r="I24" s="5" t="s">
        <v>16</v>
      </c>
      <c r="J24" s="69">
        <f t="shared" ref="J24" si="7">+D24*$C$6</f>
        <v>30</v>
      </c>
      <c r="K24" s="24"/>
      <c r="L24" s="66">
        <f>+((14.5*6.25*J24)/144)*7</f>
        <v>132.16145833333331</v>
      </c>
    </row>
    <row r="25" spans="1:12" ht="16.5" thickBot="1" x14ac:dyDescent="0.3">
      <c r="A25" s="74"/>
      <c r="B25" s="75"/>
      <c r="C25" s="56" t="s">
        <v>17</v>
      </c>
      <c r="D25" s="57"/>
      <c r="E25" s="58">
        <v>1.5</v>
      </c>
      <c r="F25" s="58" t="s">
        <v>8</v>
      </c>
      <c r="G25" s="58">
        <v>9</v>
      </c>
      <c r="H25" s="58" t="s">
        <v>8</v>
      </c>
      <c r="I25" s="76">
        <v>1</v>
      </c>
      <c r="J25" s="59"/>
      <c r="K25" s="60">
        <f t="shared" ref="K25" si="8">+E25*G25*I25*J24/144</f>
        <v>2.8125</v>
      </c>
      <c r="L25" s="68">
        <f>+SUM(L12:L24)</f>
        <v>1619.4791666666665</v>
      </c>
    </row>
    <row r="26" spans="1:12" x14ac:dyDescent="0.25">
      <c r="A26" s="86" t="s">
        <v>23</v>
      </c>
      <c r="B26" s="87"/>
      <c r="C26" s="87"/>
      <c r="D26" s="87"/>
      <c r="E26" s="87"/>
      <c r="F26" s="87"/>
      <c r="G26" s="87"/>
      <c r="H26" s="87"/>
      <c r="I26" s="87"/>
      <c r="J26" s="87"/>
      <c r="K26" s="88"/>
      <c r="L26" s="13"/>
    </row>
    <row r="27" spans="1:12" ht="15.75" thickBot="1" x14ac:dyDescent="0.3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1"/>
    </row>
    <row r="28" spans="1:12" ht="15.75" x14ac:dyDescent="0.25">
      <c r="A28" s="23" t="s">
        <v>29</v>
      </c>
      <c r="B28" s="37"/>
      <c r="C28" s="38" t="s">
        <v>18</v>
      </c>
      <c r="D28" s="39">
        <v>1</v>
      </c>
      <c r="E28" s="40" t="s">
        <v>40</v>
      </c>
      <c r="F28" s="46" t="s">
        <v>8</v>
      </c>
      <c r="G28" s="41" t="s">
        <v>50</v>
      </c>
      <c r="H28" s="46" t="s">
        <v>8</v>
      </c>
      <c r="I28" s="42" t="s">
        <v>67</v>
      </c>
      <c r="J28" s="46">
        <f>+D28*$C$6</f>
        <v>10</v>
      </c>
      <c r="K28" s="24"/>
    </row>
    <row r="29" spans="1:12" ht="15.75" x14ac:dyDescent="0.25">
      <c r="A29" s="23" t="s">
        <v>19</v>
      </c>
      <c r="B29" s="37"/>
      <c r="C29" s="38" t="s">
        <v>24</v>
      </c>
      <c r="D29" s="39">
        <v>1</v>
      </c>
      <c r="E29" s="40" t="s">
        <v>42</v>
      </c>
      <c r="F29" s="77" t="s">
        <v>8</v>
      </c>
      <c r="G29" s="41" t="s">
        <v>77</v>
      </c>
      <c r="H29" s="77" t="s">
        <v>8</v>
      </c>
      <c r="I29" s="42" t="s">
        <v>28</v>
      </c>
      <c r="J29" s="77">
        <f>+D29*$C$6</f>
        <v>10</v>
      </c>
      <c r="K29" s="24"/>
    </row>
    <row r="30" spans="1:12" ht="16.5" thickBot="1" x14ac:dyDescent="0.3">
      <c r="A30" s="23" t="s">
        <v>19</v>
      </c>
      <c r="B30" s="37"/>
      <c r="C30" s="38" t="s">
        <v>24</v>
      </c>
      <c r="D30" s="39">
        <v>3</v>
      </c>
      <c r="E30" s="40" t="s">
        <v>32</v>
      </c>
      <c r="F30" s="46" t="s">
        <v>8</v>
      </c>
      <c r="G30" s="41" t="s">
        <v>25</v>
      </c>
      <c r="H30" s="46" t="s">
        <v>8</v>
      </c>
      <c r="I30" s="42" t="s">
        <v>28</v>
      </c>
      <c r="J30" s="46">
        <f>+D30*$C$6</f>
        <v>30</v>
      </c>
      <c r="K30" s="24"/>
    </row>
    <row r="31" spans="1:12" x14ac:dyDescent="0.25">
      <c r="A31" s="86" t="s">
        <v>6</v>
      </c>
      <c r="B31" s="87"/>
      <c r="C31" s="87"/>
      <c r="D31" s="87"/>
      <c r="E31" s="87"/>
      <c r="F31" s="87"/>
      <c r="G31" s="87"/>
      <c r="H31" s="87"/>
      <c r="I31" s="87"/>
      <c r="J31" s="87"/>
      <c r="K31" s="88"/>
    </row>
    <row r="32" spans="1:12" ht="15.6" customHeight="1" thickBot="1" x14ac:dyDescent="0.3">
      <c r="A32" s="89"/>
      <c r="B32" s="90"/>
      <c r="C32" s="90"/>
      <c r="D32" s="90"/>
      <c r="E32" s="90"/>
      <c r="F32" s="90"/>
      <c r="G32" s="90"/>
      <c r="H32" s="90"/>
      <c r="I32" s="90"/>
      <c r="J32" s="90"/>
      <c r="K32" s="91"/>
    </row>
    <row r="33" spans="1:11" ht="15.75" x14ac:dyDescent="0.25">
      <c r="A33" s="35" t="s">
        <v>15</v>
      </c>
      <c r="B33" s="48" t="s">
        <v>39</v>
      </c>
      <c r="C33" s="49" t="s">
        <v>46</v>
      </c>
      <c r="D33" s="50">
        <v>18</v>
      </c>
      <c r="E33" s="51" t="s">
        <v>48</v>
      </c>
      <c r="F33" s="72" t="s">
        <v>7</v>
      </c>
      <c r="G33" s="52" t="s">
        <v>47</v>
      </c>
      <c r="H33" s="72" t="s">
        <v>7</v>
      </c>
      <c r="I33" s="53" t="s">
        <v>34</v>
      </c>
      <c r="J33" s="36">
        <f t="shared" ref="J33" si="9">+D33*$C$6</f>
        <v>180</v>
      </c>
      <c r="K33" s="54"/>
    </row>
    <row r="34" spans="1:11" ht="15.75" x14ac:dyDescent="0.25">
      <c r="A34" s="26"/>
      <c r="B34" s="15"/>
      <c r="C34" s="17" t="s">
        <v>17</v>
      </c>
      <c r="D34" s="12"/>
      <c r="E34" s="1">
        <v>2.5</v>
      </c>
      <c r="F34" s="1" t="s">
        <v>8</v>
      </c>
      <c r="G34" s="1">
        <v>4</v>
      </c>
      <c r="H34" s="1" t="s">
        <v>8</v>
      </c>
      <c r="I34" s="1">
        <v>1</v>
      </c>
      <c r="J34" s="69"/>
      <c r="K34" s="24">
        <f t="shared" ref="K34" si="10">+E34*G34*I34*J33/144</f>
        <v>12.5</v>
      </c>
    </row>
    <row r="35" spans="1:11" ht="15.75" x14ac:dyDescent="0.25">
      <c r="A35" s="23" t="s">
        <v>15</v>
      </c>
      <c r="B35" s="14" t="s">
        <v>39</v>
      </c>
      <c r="C35" s="16" t="s">
        <v>46</v>
      </c>
      <c r="D35" s="12">
        <v>2</v>
      </c>
      <c r="E35" s="3" t="s">
        <v>48</v>
      </c>
      <c r="F35" s="8" t="s">
        <v>7</v>
      </c>
      <c r="G35" s="6" t="s">
        <v>16</v>
      </c>
      <c r="H35" s="8" t="s">
        <v>7</v>
      </c>
      <c r="I35" s="5" t="s">
        <v>34</v>
      </c>
      <c r="J35" s="69">
        <f t="shared" ref="J35" si="11">+D35*$C$6</f>
        <v>20</v>
      </c>
      <c r="K35" s="47"/>
    </row>
    <row r="36" spans="1:11" ht="15.75" x14ac:dyDescent="0.25">
      <c r="A36" s="25"/>
      <c r="B36" s="15"/>
      <c r="C36" s="17" t="s">
        <v>17</v>
      </c>
      <c r="D36" s="12"/>
      <c r="E36" s="1"/>
      <c r="F36" s="1" t="s">
        <v>8</v>
      </c>
      <c r="G36" s="1"/>
      <c r="H36" s="1" t="s">
        <v>8</v>
      </c>
      <c r="I36" s="2"/>
      <c r="J36" s="69"/>
      <c r="K36" s="24" t="s">
        <v>69</v>
      </c>
    </row>
    <row r="37" spans="1:11" ht="15.75" x14ac:dyDescent="0.25">
      <c r="A37" s="23" t="s">
        <v>15</v>
      </c>
      <c r="B37" s="29" t="s">
        <v>49</v>
      </c>
      <c r="C37" s="16" t="s">
        <v>46</v>
      </c>
      <c r="D37" s="12">
        <v>6</v>
      </c>
      <c r="E37" s="4" t="s">
        <v>50</v>
      </c>
      <c r="F37" s="8" t="s">
        <v>7</v>
      </c>
      <c r="G37" s="6" t="s">
        <v>51</v>
      </c>
      <c r="H37" s="8" t="s">
        <v>7</v>
      </c>
      <c r="I37" s="7" t="s">
        <v>34</v>
      </c>
      <c r="J37" s="69">
        <f t="shared" ref="J37" si="12">+D37*$C$6</f>
        <v>60</v>
      </c>
      <c r="K37" s="47"/>
    </row>
    <row r="38" spans="1:11" ht="15.75" x14ac:dyDescent="0.25">
      <c r="A38" s="26"/>
      <c r="B38" s="15"/>
      <c r="C38" s="17" t="s">
        <v>17</v>
      </c>
      <c r="D38" s="12"/>
      <c r="E38" s="1">
        <v>2</v>
      </c>
      <c r="F38" s="1" t="s">
        <v>8</v>
      </c>
      <c r="G38" s="1">
        <v>4</v>
      </c>
      <c r="H38" s="1" t="s">
        <v>8</v>
      </c>
      <c r="I38" s="1">
        <v>1</v>
      </c>
      <c r="J38" s="69"/>
      <c r="K38" s="24">
        <f t="shared" ref="K38" si="13">+E38*G38*I38*J37/144</f>
        <v>3.3333333333333335</v>
      </c>
    </row>
    <row r="39" spans="1:11" ht="15.75" x14ac:dyDescent="0.25">
      <c r="A39" s="23" t="s">
        <v>15</v>
      </c>
      <c r="B39" s="14" t="s">
        <v>39</v>
      </c>
      <c r="C39" s="16" t="s">
        <v>52</v>
      </c>
      <c r="D39" s="12">
        <v>2</v>
      </c>
      <c r="E39" s="3" t="s">
        <v>36</v>
      </c>
      <c r="F39" s="8" t="s">
        <v>7</v>
      </c>
      <c r="G39" s="6" t="s">
        <v>53</v>
      </c>
      <c r="H39" s="8" t="s">
        <v>7</v>
      </c>
      <c r="I39" s="5" t="s">
        <v>26</v>
      </c>
      <c r="J39" s="69">
        <f t="shared" ref="J39" si="14">+D39*$C$6</f>
        <v>20</v>
      </c>
      <c r="K39" s="34"/>
    </row>
    <row r="40" spans="1:11" ht="15.75" x14ac:dyDescent="0.25">
      <c r="A40" s="25"/>
      <c r="B40" s="15"/>
      <c r="C40" s="17" t="s">
        <v>17</v>
      </c>
      <c r="D40" s="12"/>
      <c r="E40" s="1">
        <v>2.5</v>
      </c>
      <c r="F40" s="1" t="s">
        <v>8</v>
      </c>
      <c r="G40" s="1">
        <v>4</v>
      </c>
      <c r="H40" s="1" t="s">
        <v>8</v>
      </c>
      <c r="I40" s="2">
        <v>1.5</v>
      </c>
      <c r="J40" s="69"/>
      <c r="K40" s="24">
        <f t="shared" ref="K40" si="15">+E40*G40*I40*J39/144</f>
        <v>2.0833333333333335</v>
      </c>
    </row>
    <row r="41" spans="1:11" ht="15.75" x14ac:dyDescent="0.25">
      <c r="A41" s="28" t="s">
        <v>15</v>
      </c>
      <c r="B41" s="29"/>
      <c r="C41" s="16" t="s">
        <v>21</v>
      </c>
      <c r="D41" s="30">
        <v>2</v>
      </c>
      <c r="E41" s="31" t="s">
        <v>57</v>
      </c>
      <c r="F41" s="45" t="s">
        <v>7</v>
      </c>
      <c r="G41" s="32" t="s">
        <v>72</v>
      </c>
      <c r="H41" s="45" t="s">
        <v>7</v>
      </c>
      <c r="I41" s="33" t="s">
        <v>16</v>
      </c>
      <c r="J41" s="27">
        <f>+D41*$C$6</f>
        <v>20</v>
      </c>
      <c r="K41" s="34"/>
    </row>
    <row r="42" spans="1:11" ht="15.75" x14ac:dyDescent="0.25">
      <c r="A42" s="25"/>
      <c r="B42" s="15"/>
      <c r="C42" s="17" t="s">
        <v>17</v>
      </c>
      <c r="D42" s="12"/>
      <c r="E42" s="1">
        <v>1.5</v>
      </c>
      <c r="F42" s="1" t="s">
        <v>8</v>
      </c>
      <c r="G42" s="1">
        <v>3</v>
      </c>
      <c r="H42" s="1" t="s">
        <v>8</v>
      </c>
      <c r="I42" s="2">
        <v>1</v>
      </c>
      <c r="J42" s="77"/>
      <c r="K42" s="24">
        <f>+E42*G42*I42*J41/144</f>
        <v>0.625</v>
      </c>
    </row>
    <row r="43" spans="1:11" ht="15.75" x14ac:dyDescent="0.25">
      <c r="A43" s="23" t="s">
        <v>15</v>
      </c>
      <c r="B43" s="14"/>
      <c r="C43" s="16" t="s">
        <v>73</v>
      </c>
      <c r="D43" s="12">
        <v>1</v>
      </c>
      <c r="E43" s="3" t="s">
        <v>74</v>
      </c>
      <c r="F43" s="8" t="s">
        <v>7</v>
      </c>
      <c r="G43" s="6" t="s">
        <v>72</v>
      </c>
      <c r="H43" s="8" t="s">
        <v>7</v>
      </c>
      <c r="I43" s="5" t="s">
        <v>16</v>
      </c>
      <c r="J43" s="77">
        <f t="shared" ref="J43" si="16">+D43*$C$6</f>
        <v>10</v>
      </c>
      <c r="K43" s="34"/>
    </row>
    <row r="44" spans="1:11" ht="15.75" x14ac:dyDescent="0.25">
      <c r="A44" s="25"/>
      <c r="B44" s="15"/>
      <c r="C44" s="17" t="s">
        <v>17</v>
      </c>
      <c r="D44" s="12"/>
      <c r="E44" s="1">
        <v>2.25</v>
      </c>
      <c r="F44" s="1" t="s">
        <v>8</v>
      </c>
      <c r="G44" s="1">
        <v>3</v>
      </c>
      <c r="H44" s="1" t="s">
        <v>8</v>
      </c>
      <c r="I44" s="2">
        <v>1</v>
      </c>
      <c r="J44" s="77"/>
      <c r="K44" s="24">
        <f t="shared" ref="K44" si="17">+E44*G44*I44*J43/144</f>
        <v>0.46875</v>
      </c>
    </row>
    <row r="45" spans="1:11" ht="15.75" x14ac:dyDescent="0.25">
      <c r="A45" s="23" t="s">
        <v>15</v>
      </c>
      <c r="B45" s="14"/>
      <c r="C45" s="16" t="s">
        <v>75</v>
      </c>
      <c r="D45" s="12">
        <v>1</v>
      </c>
      <c r="E45" s="3" t="s">
        <v>42</v>
      </c>
      <c r="F45" s="8" t="s">
        <v>7</v>
      </c>
      <c r="G45" s="6" t="s">
        <v>76</v>
      </c>
      <c r="H45" s="8" t="s">
        <v>7</v>
      </c>
      <c r="I45" s="5" t="s">
        <v>16</v>
      </c>
      <c r="J45" s="77">
        <f t="shared" ref="J45" si="18">+D45*$C$6</f>
        <v>10</v>
      </c>
      <c r="K45" s="34"/>
    </row>
    <row r="46" spans="1:11" ht="15.75" x14ac:dyDescent="0.25">
      <c r="A46" s="25"/>
      <c r="B46" s="15"/>
      <c r="C46" s="17" t="s">
        <v>17</v>
      </c>
      <c r="D46" s="12"/>
      <c r="E46" s="1">
        <v>2.25</v>
      </c>
      <c r="F46" s="1" t="s">
        <v>8</v>
      </c>
      <c r="G46" s="1">
        <v>2</v>
      </c>
      <c r="H46" s="1" t="s">
        <v>8</v>
      </c>
      <c r="I46" s="2">
        <v>1</v>
      </c>
      <c r="J46" s="77"/>
      <c r="K46" s="24">
        <f t="shared" ref="K46" si="19">+E46*G46*I46*J45/144</f>
        <v>0.3125</v>
      </c>
    </row>
    <row r="47" spans="1:11" ht="15.75" x14ac:dyDescent="0.25">
      <c r="A47" s="23" t="s">
        <v>15</v>
      </c>
      <c r="B47" s="14"/>
      <c r="C47" s="16" t="s">
        <v>56</v>
      </c>
      <c r="D47" s="12">
        <v>2</v>
      </c>
      <c r="E47" s="3" t="s">
        <v>25</v>
      </c>
      <c r="F47" s="8" t="s">
        <v>7</v>
      </c>
      <c r="G47" s="6" t="s">
        <v>33</v>
      </c>
      <c r="H47" s="8" t="s">
        <v>7</v>
      </c>
      <c r="I47" s="5" t="s">
        <v>34</v>
      </c>
      <c r="J47" s="77">
        <f t="shared" ref="J47" si="20">+D47*$C$6</f>
        <v>20</v>
      </c>
      <c r="K47" s="34"/>
    </row>
    <row r="48" spans="1:11" ht="15.75" x14ac:dyDescent="0.25">
      <c r="A48" s="25"/>
      <c r="B48" s="15"/>
      <c r="C48" s="17" t="s">
        <v>17</v>
      </c>
      <c r="D48" s="12"/>
      <c r="E48" s="1">
        <v>1.5</v>
      </c>
      <c r="F48" s="1" t="s">
        <v>8</v>
      </c>
      <c r="G48" s="1">
        <v>2</v>
      </c>
      <c r="H48" s="1" t="s">
        <v>8</v>
      </c>
      <c r="I48" s="2">
        <v>1</v>
      </c>
      <c r="J48" s="77"/>
      <c r="K48" s="24">
        <f t="shared" ref="K48" si="21">+E48*G48*I48*J47/144</f>
        <v>0.41666666666666669</v>
      </c>
    </row>
    <row r="49" spans="1:11" ht="15.75" x14ac:dyDescent="0.25">
      <c r="A49" s="28" t="s">
        <v>15</v>
      </c>
      <c r="B49" s="29"/>
      <c r="C49" s="16" t="s">
        <v>54</v>
      </c>
      <c r="D49" s="30">
        <v>2</v>
      </c>
      <c r="E49" s="31" t="s">
        <v>55</v>
      </c>
      <c r="F49" s="45" t="s">
        <v>7</v>
      </c>
      <c r="G49" s="32" t="s">
        <v>53</v>
      </c>
      <c r="H49" s="45" t="s">
        <v>7</v>
      </c>
      <c r="I49" s="33" t="s">
        <v>26</v>
      </c>
      <c r="J49" s="27">
        <f>+D49*$C$6</f>
        <v>20</v>
      </c>
      <c r="K49" s="34"/>
    </row>
    <row r="50" spans="1:11" ht="15.75" x14ac:dyDescent="0.25">
      <c r="A50" s="25"/>
      <c r="B50" s="15"/>
      <c r="C50" s="17" t="s">
        <v>17</v>
      </c>
      <c r="D50" s="12"/>
      <c r="E50" s="1">
        <v>2</v>
      </c>
      <c r="F50" s="1" t="s">
        <v>8</v>
      </c>
      <c r="G50" s="1">
        <v>4</v>
      </c>
      <c r="H50" s="1" t="s">
        <v>8</v>
      </c>
      <c r="I50" s="2">
        <v>1.5</v>
      </c>
      <c r="J50" s="69"/>
      <c r="K50" s="24">
        <f>+E50*G50*I50*J49/144</f>
        <v>1.6666666666666667</v>
      </c>
    </row>
    <row r="51" spans="1:11" ht="15.75" x14ac:dyDescent="0.25">
      <c r="A51" s="23" t="s">
        <v>15</v>
      </c>
      <c r="B51" s="14"/>
      <c r="C51" s="16" t="s">
        <v>56</v>
      </c>
      <c r="D51" s="12">
        <v>6</v>
      </c>
      <c r="E51" s="3" t="s">
        <v>57</v>
      </c>
      <c r="F51" s="8" t="s">
        <v>7</v>
      </c>
      <c r="G51" s="6" t="s">
        <v>33</v>
      </c>
      <c r="H51" s="8" t="s">
        <v>7</v>
      </c>
      <c r="I51" s="5" t="s">
        <v>34</v>
      </c>
      <c r="J51" s="69">
        <f t="shared" ref="J51:J61" si="22">+D51*$C$6</f>
        <v>60</v>
      </c>
      <c r="K51" s="34"/>
    </row>
    <row r="52" spans="1:11" ht="15.75" x14ac:dyDescent="0.25">
      <c r="A52" s="25"/>
      <c r="B52" s="15"/>
      <c r="C52" s="17" t="s">
        <v>17</v>
      </c>
      <c r="D52" s="12"/>
      <c r="E52" s="1">
        <v>1.5</v>
      </c>
      <c r="F52" s="1" t="s">
        <v>8</v>
      </c>
      <c r="G52" s="1">
        <v>2</v>
      </c>
      <c r="H52" s="1" t="s">
        <v>8</v>
      </c>
      <c r="I52" s="2">
        <v>1</v>
      </c>
      <c r="J52" s="69"/>
      <c r="K52" s="24">
        <f t="shared" ref="K52" si="23">+E52*G52*I52*J51/144</f>
        <v>1.25</v>
      </c>
    </row>
    <row r="53" spans="1:11" ht="15.75" x14ac:dyDescent="0.25">
      <c r="A53" s="23" t="s">
        <v>15</v>
      </c>
      <c r="B53" s="44"/>
      <c r="C53" s="16" t="s">
        <v>58</v>
      </c>
      <c r="D53" s="12">
        <v>2</v>
      </c>
      <c r="E53" s="3" t="s">
        <v>27</v>
      </c>
      <c r="F53" s="8" t="s">
        <v>7</v>
      </c>
      <c r="G53" s="6" t="s">
        <v>59</v>
      </c>
      <c r="H53" s="8" t="s">
        <v>7</v>
      </c>
      <c r="I53" s="5" t="s">
        <v>26</v>
      </c>
      <c r="J53" s="69">
        <f t="shared" ref="J53" si="24">+D53*$C$6</f>
        <v>20</v>
      </c>
      <c r="K53" s="34"/>
    </row>
    <row r="54" spans="1:11" ht="15.75" x14ac:dyDescent="0.25">
      <c r="A54" s="25"/>
      <c r="B54" s="43"/>
      <c r="C54" s="17" t="s">
        <v>17</v>
      </c>
      <c r="D54" s="12"/>
      <c r="E54" s="1">
        <v>1.75</v>
      </c>
      <c r="F54" s="1" t="s">
        <v>8</v>
      </c>
      <c r="G54" s="1">
        <v>3</v>
      </c>
      <c r="H54" s="1" t="s">
        <v>8</v>
      </c>
      <c r="I54" s="2">
        <v>1.5</v>
      </c>
      <c r="J54" s="69"/>
      <c r="K54" s="24">
        <f t="shared" ref="K54" si="25">+E54*G54*I54*J53/144</f>
        <v>1.09375</v>
      </c>
    </row>
    <row r="55" spans="1:11" ht="15.75" x14ac:dyDescent="0.25">
      <c r="A55" s="23" t="s">
        <v>15</v>
      </c>
      <c r="B55" s="14"/>
      <c r="C55" s="16" t="s">
        <v>58</v>
      </c>
      <c r="D55" s="12">
        <v>1</v>
      </c>
      <c r="E55" s="3" t="s">
        <v>60</v>
      </c>
      <c r="F55" s="8" t="s">
        <v>7</v>
      </c>
      <c r="G55" s="6" t="s">
        <v>61</v>
      </c>
      <c r="H55" s="8" t="s">
        <v>7</v>
      </c>
      <c r="I55" s="5" t="s">
        <v>26</v>
      </c>
      <c r="J55" s="69">
        <f t="shared" si="22"/>
        <v>10</v>
      </c>
      <c r="K55" s="34"/>
    </row>
    <row r="56" spans="1:11" ht="15.75" x14ac:dyDescent="0.25">
      <c r="A56" s="25"/>
      <c r="B56" s="15"/>
      <c r="C56" s="17" t="s">
        <v>17</v>
      </c>
      <c r="D56" s="12"/>
      <c r="E56" s="1">
        <v>1.75</v>
      </c>
      <c r="F56" s="1" t="s">
        <v>8</v>
      </c>
      <c r="G56" s="1">
        <v>5</v>
      </c>
      <c r="H56" s="1" t="s">
        <v>8</v>
      </c>
      <c r="I56" s="2">
        <v>1.5</v>
      </c>
      <c r="J56" s="124">
        <f>+J55/2</f>
        <v>5</v>
      </c>
      <c r="K56" s="24">
        <f>+E56*G56*I56*J56/144</f>
        <v>0.45572916666666669</v>
      </c>
    </row>
    <row r="57" spans="1:11" ht="15.75" x14ac:dyDescent="0.25">
      <c r="A57" s="23" t="s">
        <v>15</v>
      </c>
      <c r="B57" s="14" t="s">
        <v>49</v>
      </c>
      <c r="C57" s="16" t="s">
        <v>58</v>
      </c>
      <c r="D57" s="12">
        <v>1</v>
      </c>
      <c r="E57" s="3" t="s">
        <v>65</v>
      </c>
      <c r="F57" s="8" t="s">
        <v>7</v>
      </c>
      <c r="G57" s="6" t="s">
        <v>51</v>
      </c>
      <c r="H57" s="8" t="s">
        <v>7</v>
      </c>
      <c r="I57" s="5" t="s">
        <v>61</v>
      </c>
      <c r="J57" s="69">
        <f t="shared" si="22"/>
        <v>10</v>
      </c>
      <c r="K57" s="34"/>
    </row>
    <row r="58" spans="1:11" ht="15.75" x14ac:dyDescent="0.25">
      <c r="A58" s="25"/>
      <c r="B58" s="15"/>
      <c r="C58" s="17" t="s">
        <v>17</v>
      </c>
      <c r="D58" s="12"/>
      <c r="E58" s="1">
        <v>2</v>
      </c>
      <c r="F58" s="1" t="s">
        <v>8</v>
      </c>
      <c r="G58" s="1">
        <v>4</v>
      </c>
      <c r="H58" s="1" t="s">
        <v>8</v>
      </c>
      <c r="I58" s="2">
        <v>2</v>
      </c>
      <c r="J58" s="69"/>
      <c r="K58" s="24">
        <f t="shared" ref="K58" si="26">+E58*G58*I58*J57/144</f>
        <v>1.1111111111111112</v>
      </c>
    </row>
    <row r="59" spans="1:11" ht="15.75" x14ac:dyDescent="0.25">
      <c r="A59" s="23" t="s">
        <v>15</v>
      </c>
      <c r="B59" s="44"/>
      <c r="C59" s="16" t="s">
        <v>78</v>
      </c>
      <c r="D59" s="12">
        <v>1</v>
      </c>
      <c r="E59" s="4" t="s">
        <v>74</v>
      </c>
      <c r="F59" s="8" t="s">
        <v>7</v>
      </c>
      <c r="G59" s="6" t="s">
        <v>72</v>
      </c>
      <c r="H59" s="8" t="s">
        <v>7</v>
      </c>
      <c r="I59" s="7" t="s">
        <v>16</v>
      </c>
      <c r="J59" s="77">
        <f t="shared" ref="J59" si="27">+D59*$C$6</f>
        <v>10</v>
      </c>
      <c r="K59" s="34"/>
    </row>
    <row r="60" spans="1:11" ht="15.75" x14ac:dyDescent="0.25">
      <c r="A60" s="26"/>
      <c r="B60" s="43"/>
      <c r="C60" s="17" t="s">
        <v>17</v>
      </c>
      <c r="D60" s="12"/>
      <c r="E60" s="1">
        <v>2.25</v>
      </c>
      <c r="F60" s="1" t="s">
        <v>8</v>
      </c>
      <c r="G60" s="1">
        <v>3</v>
      </c>
      <c r="H60" s="1" t="s">
        <v>8</v>
      </c>
      <c r="I60" s="1">
        <v>1</v>
      </c>
      <c r="J60" s="77"/>
      <c r="K60" s="24">
        <f t="shared" ref="K60" si="28">+E60*G60*I60*J59/144</f>
        <v>0.46875</v>
      </c>
    </row>
    <row r="61" spans="1:11" ht="15.75" x14ac:dyDescent="0.25">
      <c r="A61" s="23" t="s">
        <v>15</v>
      </c>
      <c r="B61" s="44"/>
      <c r="C61" s="16" t="s">
        <v>62</v>
      </c>
      <c r="D61" s="12">
        <v>2</v>
      </c>
      <c r="E61" s="4" t="s">
        <v>63</v>
      </c>
      <c r="F61" s="8" t="s">
        <v>7</v>
      </c>
      <c r="G61" s="6" t="s">
        <v>64</v>
      </c>
      <c r="H61" s="8" t="s">
        <v>7</v>
      </c>
      <c r="I61" s="7" t="s">
        <v>26</v>
      </c>
      <c r="J61" s="69">
        <f t="shared" si="22"/>
        <v>20</v>
      </c>
      <c r="K61" s="34"/>
    </row>
    <row r="62" spans="1:11" ht="15.75" x14ac:dyDescent="0.25">
      <c r="A62" s="26"/>
      <c r="B62" s="43"/>
      <c r="C62" s="17" t="s">
        <v>17</v>
      </c>
      <c r="D62" s="12"/>
      <c r="E62" s="1">
        <v>1.5</v>
      </c>
      <c r="F62" s="1" t="s">
        <v>8</v>
      </c>
      <c r="G62" s="1">
        <v>2</v>
      </c>
      <c r="H62" s="1" t="s">
        <v>8</v>
      </c>
      <c r="I62" s="1">
        <v>1.5</v>
      </c>
      <c r="J62" s="69"/>
      <c r="K62" s="24">
        <f t="shared" ref="K62" si="29">+E62*G62*I62*J61/144</f>
        <v>0.625</v>
      </c>
    </row>
    <row r="63" spans="1:11" ht="15.75" x14ac:dyDescent="0.25">
      <c r="A63" s="23" t="s">
        <v>15</v>
      </c>
      <c r="B63" s="44"/>
      <c r="C63" s="16" t="s">
        <v>62</v>
      </c>
      <c r="D63" s="12">
        <v>2</v>
      </c>
      <c r="E63" s="4" t="s">
        <v>65</v>
      </c>
      <c r="F63" s="8" t="s">
        <v>7</v>
      </c>
      <c r="G63" s="6" t="s">
        <v>64</v>
      </c>
      <c r="H63" s="8" t="s">
        <v>7</v>
      </c>
      <c r="I63" s="7" t="s">
        <v>26</v>
      </c>
      <c r="J63" s="69">
        <f t="shared" ref="J63" si="30">+D63*$C$6</f>
        <v>20</v>
      </c>
      <c r="K63" s="34"/>
    </row>
    <row r="64" spans="1:11" ht="16.5" thickBot="1" x14ac:dyDescent="0.3">
      <c r="A64" s="65"/>
      <c r="B64" s="55"/>
      <c r="C64" s="56" t="s">
        <v>17</v>
      </c>
      <c r="D64" s="57"/>
      <c r="E64" s="58">
        <v>2</v>
      </c>
      <c r="F64" s="58" t="s">
        <v>8</v>
      </c>
      <c r="G64" s="58">
        <v>2</v>
      </c>
      <c r="H64" s="58" t="s">
        <v>8</v>
      </c>
      <c r="I64" s="58">
        <v>1.5</v>
      </c>
      <c r="J64" s="59"/>
      <c r="K64" s="60">
        <f t="shared" ref="K64" si="31">+E64*G64*I64*J63/144</f>
        <v>0.83333333333333337</v>
      </c>
    </row>
    <row r="65" spans="1:11" ht="18.75" x14ac:dyDescent="0.25">
      <c r="A65" s="18"/>
      <c r="B65" s="19"/>
      <c r="C65" s="20"/>
      <c r="E65" s="82" t="s">
        <v>66</v>
      </c>
      <c r="F65" s="83"/>
      <c r="G65" s="83"/>
      <c r="H65" s="83"/>
      <c r="I65" s="83"/>
      <c r="J65" s="83"/>
      <c r="K65" s="83"/>
    </row>
    <row r="66" spans="1:11" ht="18.75" x14ac:dyDescent="0.25">
      <c r="C66" s="20"/>
    </row>
    <row r="67" spans="1:11" ht="18.75" x14ac:dyDescent="0.25">
      <c r="C67" s="20"/>
      <c r="E67" s="22"/>
      <c r="F67" s="22"/>
      <c r="G67" s="22"/>
      <c r="H67" s="22"/>
    </row>
    <row r="68" spans="1:11" ht="18.75" x14ac:dyDescent="0.25">
      <c r="C68" s="20"/>
      <c r="E68" s="22"/>
      <c r="F68" s="22"/>
      <c r="G68" s="22"/>
      <c r="H68" s="22"/>
    </row>
    <row r="69" spans="1:11" ht="18.75" x14ac:dyDescent="0.25">
      <c r="C69" s="20"/>
      <c r="E69" s="22"/>
      <c r="F69" s="22"/>
      <c r="G69" s="22"/>
      <c r="H69" s="22"/>
    </row>
    <row r="70" spans="1:11" ht="18.75" x14ac:dyDescent="0.25">
      <c r="C70" s="20"/>
      <c r="E70" s="22"/>
      <c r="F70" s="22"/>
      <c r="G70" s="22"/>
      <c r="H70" s="22"/>
    </row>
    <row r="71" spans="1:11" ht="18.75" x14ac:dyDescent="0.25">
      <c r="C71" s="20"/>
    </row>
    <row r="72" spans="1:11" ht="18.75" x14ac:dyDescent="0.25">
      <c r="C72" s="20"/>
    </row>
    <row r="73" spans="1:11" ht="18.75" x14ac:dyDescent="0.25">
      <c r="C73" s="20"/>
    </row>
    <row r="74" spans="1:11" ht="18.75" x14ac:dyDescent="0.25">
      <c r="C74" s="20"/>
    </row>
  </sheetData>
  <mergeCells count="18">
    <mergeCell ref="C8:H8"/>
    <mergeCell ref="D7:E7"/>
    <mergeCell ref="F6:H6"/>
    <mergeCell ref="D6:E6"/>
    <mergeCell ref="A2:K3"/>
    <mergeCell ref="A5:B5"/>
    <mergeCell ref="A6:B6"/>
    <mergeCell ref="A7:B7"/>
    <mergeCell ref="A8:B8"/>
    <mergeCell ref="I5:K8"/>
    <mergeCell ref="C5:H5"/>
    <mergeCell ref="F7:H7"/>
    <mergeCell ref="A4:I4"/>
    <mergeCell ref="E65:K65"/>
    <mergeCell ref="E11:I11"/>
    <mergeCell ref="A31:K32"/>
    <mergeCell ref="A9:K10"/>
    <mergeCell ref="A26:K27"/>
  </mergeCells>
  <printOptions horizontalCentered="1"/>
  <pageMargins left="0" right="0" top="0" bottom="0" header="0.19685039370078741" footer="0.31496062992125984"/>
  <pageSetup scale="110" orientation="portrait" r:id="rId1"/>
  <rowBreaks count="1" manualBreakCount="1">
    <brk id="30" max="10" man="1"/>
  </rowBreaks>
  <ignoredErrors>
    <ignoredError sqref="J56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Sheet1!Print_Area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Narayan</dc:creator>
  <cp:lastModifiedBy>Customer</cp:lastModifiedBy>
  <cp:lastPrinted>2026-05-22T08:53:31Z</cp:lastPrinted>
  <dcterms:created xsi:type="dcterms:W3CDTF">2019-10-19T14:26:46Z</dcterms:created>
  <dcterms:modified xsi:type="dcterms:W3CDTF">2026-05-31T06:18:50Z</dcterms:modified>
</cp:coreProperties>
</file>